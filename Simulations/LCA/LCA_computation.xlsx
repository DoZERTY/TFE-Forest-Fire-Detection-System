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\Desktop\dschrobiltgen_Forest_FireDetection\ForestFireDetection\Measurements\LCA\"/>
    </mc:Choice>
  </mc:AlternateContent>
  <xr:revisionPtr revIDLastSave="0" documentId="13_ncr:1_{0C12E4B5-3F36-4119-B36A-5E46A3A73519}" xr6:coauthVersionLast="47" xr6:coauthVersionMax="47" xr10:uidLastSave="{00000000-0000-0000-0000-000000000000}"/>
  <bookViews>
    <workbookView xWindow="-108" yWindow="-108" windowWidth="23256" windowHeight="12456" activeTab="1" xr2:uid="{45D9E0EA-20F5-449B-B804-4C2405186935}"/>
  </bookViews>
  <sheets>
    <sheet name="Raw_data" sheetId="1" r:id="rId1"/>
    <sheet name="Report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2" l="1"/>
  <c r="H40" i="2" s="1"/>
  <c r="H42" i="2" s="1"/>
  <c r="H43" i="2" s="1"/>
  <c r="G52" i="2" s="1"/>
  <c r="H52" i="2" s="1"/>
  <c r="H51" i="2"/>
  <c r="G51" i="2"/>
  <c r="H34" i="2"/>
  <c r="H33" i="2"/>
  <c r="H31" i="2"/>
  <c r="E40" i="2"/>
  <c r="H49" i="2"/>
  <c r="G49" i="2"/>
  <c r="E7" i="2"/>
  <c r="E6" i="2"/>
  <c r="E43" i="2"/>
  <c r="G50" i="2" s="1"/>
  <c r="H50" i="2" s="1"/>
  <c r="E42" i="2"/>
  <c r="E37" i="2"/>
  <c r="E34" i="2"/>
  <c r="E33" i="2"/>
  <c r="E25" i="2"/>
  <c r="E31" i="2"/>
  <c r="E30" i="2"/>
  <c r="E29" i="2"/>
  <c r="L7" i="2"/>
  <c r="L11" i="2"/>
  <c r="L15" i="2"/>
  <c r="L16" i="2"/>
  <c r="L17" i="2"/>
  <c r="J7" i="2"/>
  <c r="J8" i="2"/>
  <c r="L8" i="2" s="1"/>
  <c r="J9" i="2"/>
  <c r="L9" i="2" s="1"/>
  <c r="J10" i="2"/>
  <c r="L10" i="2" s="1"/>
  <c r="J11" i="2"/>
  <c r="J12" i="2"/>
  <c r="L12" i="2" s="1"/>
  <c r="J13" i="2"/>
  <c r="L13" i="2" s="1"/>
  <c r="J14" i="2"/>
  <c r="L14" i="2" s="1"/>
  <c r="J15" i="2"/>
  <c r="J16" i="2"/>
  <c r="J17" i="2"/>
  <c r="J18" i="2"/>
  <c r="L18" i="2" s="1"/>
  <c r="J6" i="2"/>
  <c r="L6" i="2" s="1"/>
  <c r="D16" i="2"/>
  <c r="D17" i="2"/>
  <c r="D7" i="2"/>
  <c r="D8" i="2"/>
  <c r="D9" i="2"/>
  <c r="D10" i="2"/>
  <c r="D11" i="2"/>
  <c r="D12" i="2"/>
  <c r="D13" i="2"/>
  <c r="D14" i="2"/>
  <c r="D15" i="2"/>
  <c r="D18" i="2"/>
  <c r="D6" i="2"/>
</calcChain>
</file>

<file path=xl/sharedStrings.xml><?xml version="1.0" encoding="utf-8"?>
<sst xmlns="http://schemas.openxmlformats.org/spreadsheetml/2006/main" count="81" uniqueCount="62">
  <si>
    <t>AP</t>
  </si>
  <si>
    <t>GWP</t>
  </si>
  <si>
    <t>FETP</t>
  </si>
  <si>
    <t>FEP</t>
  </si>
  <si>
    <t>MEP</t>
  </si>
  <si>
    <t>TEP</t>
  </si>
  <si>
    <t>HTPc</t>
  </si>
  <si>
    <t>HTPnc</t>
  </si>
  <si>
    <t>ODP</t>
  </si>
  <si>
    <t>HOFP</t>
  </si>
  <si>
    <t>WCP</t>
  </si>
  <si>
    <t>Solar solution Aurélien</t>
  </si>
  <si>
    <t>number of sensor:</t>
  </si>
  <si>
    <t>Fossil</t>
  </si>
  <si>
    <t>Metal</t>
  </si>
  <si>
    <t>Units</t>
  </si>
  <si>
    <t>Mole of H+ eq</t>
  </si>
  <si>
    <t>kg CO2 eq</t>
  </si>
  <si>
    <t>CTUe</t>
  </si>
  <si>
    <t>kg P eq</t>
  </si>
  <si>
    <t>kg N eq</t>
  </si>
  <si>
    <t>Mole of N eq</t>
  </si>
  <si>
    <t>CTUh</t>
  </si>
  <si>
    <t>kg CFC-11 eq</t>
  </si>
  <si>
    <t>kg NMVOC eq</t>
  </si>
  <si>
    <t>MJ</t>
  </si>
  <si>
    <t>kg Sb eq</t>
  </si>
  <si>
    <t>m³ world eq</t>
  </si>
  <si>
    <t>Report Aurélien</t>
  </si>
  <si>
    <t>Sensor production</t>
  </si>
  <si>
    <t>Distribution</t>
  </si>
  <si>
    <t>Use phase</t>
  </si>
  <si>
    <t>SUM</t>
  </si>
  <si>
    <t>Energy source</t>
  </si>
  <si>
    <t>TOTAL</t>
  </si>
  <si>
    <t>GaBi</t>
  </si>
  <si>
    <t>How to find 43.4 ?</t>
  </si>
  <si>
    <t>AC SC [kgCO2e/F]</t>
  </si>
  <si>
    <t>PV DISC(Galley) [kg CO2e/cell]</t>
  </si>
  <si>
    <t>Cell area (Galley)[m²]</t>
  </si>
  <si>
    <t>PV DISC [kg CO2e/m²]</t>
  </si>
  <si>
    <t>Dryad cell area [m²]</t>
  </si>
  <si>
    <t>car 36 cm²</t>
  </si>
  <si>
    <t>PV Dryad [kgCO2e]</t>
  </si>
  <si>
    <t>Total SC (20F) [kg CO2e]</t>
  </si>
  <si>
    <t>Total per sensor [kgCO2e]</t>
  </si>
  <si>
    <t>Total for 80 sensors [kg CO2e]</t>
  </si>
  <si>
    <t>For our system</t>
  </si>
  <si>
    <t>Total SC (14F) [kgCO2e]</t>
  </si>
  <si>
    <t>Module area [m²]</t>
  </si>
  <si>
    <t>car 8 cm²</t>
  </si>
  <si>
    <t>Total PV [kgCO2e]</t>
  </si>
  <si>
    <t>Total per sensor [kg CO2e]</t>
  </si>
  <si>
    <t>considering same material</t>
  </si>
  <si>
    <t>Dorian</t>
  </si>
  <si>
    <t>For 80 sensors</t>
  </si>
  <si>
    <t>Per sensor</t>
  </si>
  <si>
    <t>Dryad</t>
  </si>
  <si>
    <t>New prototype</t>
  </si>
  <si>
    <t>GWP [kg CO2e]</t>
  </si>
  <si>
    <t>considering the DISC PV material</t>
  </si>
  <si>
    <t>considering the Mono-Si PV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</si>
</sst>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B0F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1" fontId="0" fillId="0" borderId="0" xfId="0" applyNumberFormat="1"/>
    <xf numFmtId="0" fontId="0" fillId="2" borderId="0" xfId="0" applyFill="1"/>
    <xf numFmtId="2" fontId="0" fillId="0" borderId="0" xfId="0" applyNumberFormat="1"/>
    <xf numFmtId="0" fontId="1" fillId="0" borderId="0" xfId="0" applyFont="1"/>
    <xf numFmtId="0" fontId="3" fillId="0" borderId="0" xfId="0" applyFont="1"/>
    <xf numFmtId="11" fontId="3" fillId="0" borderId="0" xfId="0" applyNumberFormat="1" applyFont="1"/>
    <xf numFmtId="2" fontId="0" fillId="3" borderId="0" xfId="0" applyNumberFormat="1" applyFill="1"/>
    <xf numFmtId="0" fontId="2" fillId="0" borderId="0" xfId="0" applyFont="1"/>
    <xf numFmtId="2" fontId="0" fillId="4" borderId="0" xfId="0" applyNumberFormat="1" applyFill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11009-714B-45B3-B2DC-C11FEDC6F820}">
  <dimension ref="B5:D18"/>
  <sheetViews>
    <sheetView workbookViewId="0">
      <selection activeCell="G3" sqref="G3"/>
    </sheetView>
  </sheetViews>
  <sheetFormatPr defaultRowHeight="14.4" x14ac:dyDescent="0.3"/>
  <cols>
    <col min="3" max="3" width="25" customWidth="1"/>
  </cols>
  <sheetData>
    <row r="5" spans="2:4" x14ac:dyDescent="0.3">
      <c r="C5" t="s">
        <v>11</v>
      </c>
      <c r="D5" t="s">
        <v>54</v>
      </c>
    </row>
    <row r="6" spans="2:4" x14ac:dyDescent="0.3">
      <c r="B6" t="s">
        <v>0</v>
      </c>
      <c r="C6">
        <v>7.1700000000000002E-3</v>
      </c>
      <c r="D6">
        <v>4.62E-3</v>
      </c>
    </row>
    <row r="7" spans="2:4" x14ac:dyDescent="0.3">
      <c r="B7" t="s">
        <v>1</v>
      </c>
      <c r="C7">
        <v>1.38</v>
      </c>
      <c r="D7">
        <v>0.92</v>
      </c>
    </row>
    <row r="8" spans="2:4" x14ac:dyDescent="0.3">
      <c r="B8" t="s">
        <v>2</v>
      </c>
      <c r="C8">
        <v>10.4</v>
      </c>
    </row>
    <row r="9" spans="2:4" x14ac:dyDescent="0.3">
      <c r="B9" t="s">
        <v>3</v>
      </c>
      <c r="C9" s="1">
        <v>1.27E-5</v>
      </c>
    </row>
    <row r="10" spans="2:4" x14ac:dyDescent="0.3">
      <c r="B10" t="s">
        <v>4</v>
      </c>
      <c r="C10">
        <v>1.16E-3</v>
      </c>
    </row>
    <row r="11" spans="2:4" x14ac:dyDescent="0.3">
      <c r="B11" t="s">
        <v>5</v>
      </c>
      <c r="C11">
        <v>1.2500000000000001E-2</v>
      </c>
    </row>
    <row r="12" spans="2:4" x14ac:dyDescent="0.3">
      <c r="B12" t="s">
        <v>6</v>
      </c>
      <c r="C12" s="1">
        <v>4.8299999999999999E-10</v>
      </c>
    </row>
    <row r="13" spans="2:4" x14ac:dyDescent="0.3">
      <c r="B13" t="s">
        <v>7</v>
      </c>
      <c r="C13" s="1">
        <v>2.5200000000000001E-8</v>
      </c>
    </row>
    <row r="14" spans="2:4" x14ac:dyDescent="0.3">
      <c r="B14" t="s">
        <v>8</v>
      </c>
      <c r="C14" s="1">
        <v>7.0600000000000002E-12</v>
      </c>
    </row>
    <row r="15" spans="2:4" x14ac:dyDescent="0.3">
      <c r="B15" t="s">
        <v>9</v>
      </c>
      <c r="C15" s="1">
        <v>3.4099999999999998E-3</v>
      </c>
    </row>
    <row r="16" spans="2:4" x14ac:dyDescent="0.3">
      <c r="B16" t="s">
        <v>13</v>
      </c>
      <c r="C16" s="1">
        <v>20.9</v>
      </c>
    </row>
    <row r="17" spans="2:3" x14ac:dyDescent="0.3">
      <c r="B17" t="s">
        <v>14</v>
      </c>
      <c r="C17" s="1">
        <v>1.8699999999999999E-4</v>
      </c>
    </row>
    <row r="18" spans="2:3" x14ac:dyDescent="0.3">
      <c r="B18" t="s">
        <v>10</v>
      </c>
      <c r="C18" s="1">
        <v>0.34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C170-1340-4C1F-8977-C7A9AA8AD48F}">
  <dimension ref="B2:L52"/>
  <sheetViews>
    <sheetView tabSelected="1" zoomScale="85" zoomScaleNormal="85" workbookViewId="0">
      <selection activeCell="M7" sqref="M7"/>
    </sheetView>
  </sheetViews>
  <sheetFormatPr defaultRowHeight="14.4" x14ac:dyDescent="0.3"/>
  <cols>
    <col min="3" max="3" width="14.88671875" customWidth="1"/>
    <col min="4" max="4" width="26.6640625" customWidth="1"/>
    <col min="5" max="5" width="10.44140625" bestFit="1" customWidth="1"/>
    <col min="6" max="6" width="24.5546875" customWidth="1"/>
    <col min="7" max="7" width="13.77734375" customWidth="1"/>
    <col min="8" max="8" width="10.21875" customWidth="1"/>
    <col min="10" max="10" width="12.5546875" customWidth="1"/>
    <col min="11" max="11" width="12.109375" bestFit="1" customWidth="1"/>
  </cols>
  <sheetData>
    <row r="2" spans="2:12" x14ac:dyDescent="0.3">
      <c r="D2" t="s">
        <v>12</v>
      </c>
      <c r="E2">
        <v>80</v>
      </c>
    </row>
    <row r="3" spans="2:12" x14ac:dyDescent="0.3">
      <c r="G3" s="11" t="s">
        <v>28</v>
      </c>
      <c r="H3" s="11"/>
      <c r="I3" s="11"/>
      <c r="J3" s="11"/>
      <c r="K3" s="11"/>
      <c r="L3" s="11"/>
    </row>
    <row r="4" spans="2:12" x14ac:dyDescent="0.3">
      <c r="D4" s="12" t="s">
        <v>35</v>
      </c>
      <c r="E4" s="12"/>
    </row>
    <row r="5" spans="2:12" x14ac:dyDescent="0.3">
      <c r="C5" t="s">
        <v>15</v>
      </c>
      <c r="D5" t="s">
        <v>11</v>
      </c>
      <c r="E5" t="s">
        <v>54</v>
      </c>
      <c r="G5" t="s">
        <v>29</v>
      </c>
      <c r="H5" t="s">
        <v>30</v>
      </c>
      <c r="I5" t="s">
        <v>31</v>
      </c>
      <c r="J5" t="s">
        <v>32</v>
      </c>
      <c r="K5" t="s">
        <v>33</v>
      </c>
      <c r="L5" t="s">
        <v>34</v>
      </c>
    </row>
    <row r="6" spans="2:12" x14ac:dyDescent="0.3">
      <c r="B6" t="s">
        <v>0</v>
      </c>
      <c r="C6" t="s">
        <v>16</v>
      </c>
      <c r="D6">
        <f>$E$2*Raw_data!C6</f>
        <v>0.5736</v>
      </c>
      <c r="E6">
        <f>$E$2*Raw_data!D6</f>
        <v>0.36959999999999998</v>
      </c>
      <c r="G6">
        <v>0.54</v>
      </c>
      <c r="H6" s="1">
        <v>5.2399999999999999E-3</v>
      </c>
      <c r="I6" s="1">
        <v>2.29E-2</v>
      </c>
      <c r="J6">
        <f>G6+H6+I6</f>
        <v>0.56814000000000009</v>
      </c>
      <c r="K6">
        <v>0.23</v>
      </c>
      <c r="L6" s="3">
        <f>J6+K6</f>
        <v>0.79814000000000007</v>
      </c>
    </row>
    <row r="7" spans="2:12" x14ac:dyDescent="0.3">
      <c r="B7" t="s">
        <v>1</v>
      </c>
      <c r="C7" t="s">
        <v>17</v>
      </c>
      <c r="D7" s="5">
        <f>$E$2*Raw_data!C7</f>
        <v>110.39999999999999</v>
      </c>
      <c r="E7" s="5">
        <f>$E$2*Raw_data!D7</f>
        <v>73.600000000000009</v>
      </c>
      <c r="G7" s="6">
        <v>103</v>
      </c>
      <c r="H7" s="5">
        <v>4.07</v>
      </c>
      <c r="I7" s="5">
        <v>4.12</v>
      </c>
      <c r="J7" s="5">
        <f t="shared" ref="J7:J18" si="0">G7+H7+I7</f>
        <v>111.19</v>
      </c>
      <c r="K7" s="5">
        <v>43.4</v>
      </c>
      <c r="L7" s="6">
        <f t="shared" ref="L7:L18" si="1">J7+K7</f>
        <v>154.59</v>
      </c>
    </row>
    <row r="8" spans="2:12" x14ac:dyDescent="0.3">
      <c r="B8" t="s">
        <v>2</v>
      </c>
      <c r="C8" t="s">
        <v>18</v>
      </c>
      <c r="D8">
        <f>$E$2*Raw_data!C8</f>
        <v>832</v>
      </c>
      <c r="G8" s="1">
        <v>741</v>
      </c>
      <c r="H8">
        <v>39.6</v>
      </c>
      <c r="I8" s="1">
        <v>228</v>
      </c>
      <c r="J8" s="4">
        <f t="shared" si="0"/>
        <v>1008.6</v>
      </c>
      <c r="K8">
        <v>13.2</v>
      </c>
      <c r="L8" s="1">
        <f>J8+K8</f>
        <v>1021.8000000000001</v>
      </c>
    </row>
    <row r="9" spans="2:12" x14ac:dyDescent="0.3">
      <c r="B9" t="s">
        <v>3</v>
      </c>
      <c r="C9" t="s">
        <v>19</v>
      </c>
      <c r="D9">
        <f>$E$2*Raw_data!C9</f>
        <v>1.016E-3</v>
      </c>
      <c r="G9" s="1">
        <v>8.4500000000000005E-4</v>
      </c>
      <c r="H9" s="1">
        <v>9.5000000000000005E-6</v>
      </c>
      <c r="I9" s="1">
        <v>1.64E-4</v>
      </c>
      <c r="J9">
        <f t="shared" si="0"/>
        <v>1.0185000000000001E-3</v>
      </c>
      <c r="K9">
        <v>0.34</v>
      </c>
      <c r="L9" s="3">
        <f t="shared" si="1"/>
        <v>0.3410185</v>
      </c>
    </row>
    <row r="10" spans="2:12" x14ac:dyDescent="0.3">
      <c r="B10" t="s">
        <v>4</v>
      </c>
      <c r="C10" t="s">
        <v>20</v>
      </c>
      <c r="D10">
        <f>$E$2*Raw_data!C10</f>
        <v>9.2799999999999994E-2</v>
      </c>
      <c r="G10" s="1">
        <v>8.4500000000000006E-2</v>
      </c>
      <c r="H10" s="1">
        <v>1.9300000000000001E-3</v>
      </c>
      <c r="I10" s="1">
        <v>5.3800000000000002E-3</v>
      </c>
      <c r="J10">
        <f t="shared" si="0"/>
        <v>9.1810000000000003E-2</v>
      </c>
      <c r="K10" s="1">
        <v>3.49E-2</v>
      </c>
      <c r="L10" s="3">
        <f t="shared" si="1"/>
        <v>0.12670999999999999</v>
      </c>
    </row>
    <row r="11" spans="2:12" x14ac:dyDescent="0.3">
      <c r="B11" t="s">
        <v>5</v>
      </c>
      <c r="C11" t="s">
        <v>21</v>
      </c>
      <c r="D11">
        <f>$E$2*Raw_data!C11</f>
        <v>1</v>
      </c>
      <c r="G11" s="1">
        <v>0.89</v>
      </c>
      <c r="H11" s="1">
        <v>2.3E-2</v>
      </c>
      <c r="I11" s="1">
        <v>7.5499999999999998E-2</v>
      </c>
      <c r="J11">
        <f t="shared" si="0"/>
        <v>0.98850000000000005</v>
      </c>
      <c r="K11" s="1">
        <v>5.8799999999999998E-2</v>
      </c>
      <c r="L11" s="3">
        <f t="shared" si="1"/>
        <v>1.0473000000000001</v>
      </c>
    </row>
    <row r="12" spans="2:12" x14ac:dyDescent="0.3">
      <c r="B12" t="s">
        <v>6</v>
      </c>
      <c r="C12" t="s">
        <v>22</v>
      </c>
      <c r="D12">
        <f>$E$2*Raw_data!C12</f>
        <v>3.8640000000000001E-8</v>
      </c>
      <c r="G12" s="1">
        <v>3.1100000000000001E-8</v>
      </c>
      <c r="H12" s="1">
        <v>7.9800000000000004E-10</v>
      </c>
      <c r="I12" s="1">
        <v>4.9900000000000003E-9</v>
      </c>
      <c r="J12" s="1">
        <f t="shared" si="0"/>
        <v>3.6887999999999999E-8</v>
      </c>
      <c r="K12" s="1">
        <v>4.4900000000000001E-7</v>
      </c>
      <c r="L12" s="1">
        <f t="shared" si="1"/>
        <v>4.8588799999999996E-7</v>
      </c>
    </row>
    <row r="13" spans="2:12" x14ac:dyDescent="0.3">
      <c r="B13" t="s">
        <v>7</v>
      </c>
      <c r="C13" t="s">
        <v>22</v>
      </c>
      <c r="D13" s="1">
        <f>$E$2*Raw_data!C13</f>
        <v>2.0159999999999998E-6</v>
      </c>
      <c r="G13" s="1">
        <v>1.9E-6</v>
      </c>
      <c r="H13" s="1">
        <v>4.0499999999999999E-8</v>
      </c>
      <c r="I13" s="1">
        <v>3.1399999999999998E-7</v>
      </c>
      <c r="J13">
        <f t="shared" si="0"/>
        <v>2.2544999999999998E-6</v>
      </c>
      <c r="K13" s="1">
        <v>3.9199999999999997E-6</v>
      </c>
      <c r="L13" s="1">
        <f t="shared" si="1"/>
        <v>6.1744999999999999E-6</v>
      </c>
    </row>
    <row r="14" spans="2:12" x14ac:dyDescent="0.3">
      <c r="B14" t="s">
        <v>8</v>
      </c>
      <c r="C14" t="s">
        <v>23</v>
      </c>
      <c r="D14">
        <f>$E$2*Raw_data!C14</f>
        <v>5.6480000000000006E-10</v>
      </c>
      <c r="G14" s="1">
        <v>5.5900000000000003E-10</v>
      </c>
      <c r="H14" s="1">
        <v>9.9400000000000001E-13</v>
      </c>
      <c r="I14" s="1">
        <v>2.7299999999999999E-12</v>
      </c>
      <c r="J14">
        <f t="shared" si="0"/>
        <v>5.6272400000000013E-10</v>
      </c>
      <c r="K14" s="1">
        <v>3.9299999999999996E-6</v>
      </c>
      <c r="L14" s="1">
        <f t="shared" si="1"/>
        <v>3.930562724E-6</v>
      </c>
    </row>
    <row r="15" spans="2:12" x14ac:dyDescent="0.3">
      <c r="B15" t="s">
        <v>9</v>
      </c>
      <c r="C15" t="s">
        <v>24</v>
      </c>
      <c r="D15">
        <f>$E$2*Raw_data!C15</f>
        <v>0.27279999999999999</v>
      </c>
      <c r="G15" s="1">
        <v>0.25</v>
      </c>
      <c r="H15" s="1">
        <v>4.6100000000000004E-3</v>
      </c>
      <c r="I15" s="1">
        <v>1.5800000000000002E-2</v>
      </c>
      <c r="J15">
        <f t="shared" si="0"/>
        <v>0.27040999999999998</v>
      </c>
      <c r="K15" s="1">
        <v>9.7900000000000001E-2</v>
      </c>
      <c r="L15" s="3">
        <f t="shared" si="1"/>
        <v>0.36830999999999997</v>
      </c>
    </row>
    <row r="16" spans="2:12" x14ac:dyDescent="0.3">
      <c r="B16" t="s">
        <v>13</v>
      </c>
      <c r="C16" s="2" t="s">
        <v>25</v>
      </c>
      <c r="D16">
        <f>$E$2*Raw_data!C16</f>
        <v>1672</v>
      </c>
      <c r="G16" s="1">
        <v>30</v>
      </c>
      <c r="H16" s="1">
        <v>1.29</v>
      </c>
      <c r="I16" s="1">
        <v>7.85</v>
      </c>
      <c r="J16" s="4">
        <f t="shared" si="0"/>
        <v>39.14</v>
      </c>
      <c r="K16" s="3">
        <v>9.7100000000000009</v>
      </c>
      <c r="L16">
        <f t="shared" si="1"/>
        <v>48.85</v>
      </c>
    </row>
    <row r="17" spans="2:12" x14ac:dyDescent="0.3">
      <c r="B17" t="s">
        <v>14</v>
      </c>
      <c r="C17" s="2" t="s">
        <v>26</v>
      </c>
      <c r="D17">
        <f>$E$2*Raw_data!C17</f>
        <v>1.4959999999999999E-2</v>
      </c>
      <c r="G17" s="1">
        <v>4.3</v>
      </c>
      <c r="H17" s="1">
        <v>5.2399999999999999E-3</v>
      </c>
      <c r="I17" s="1">
        <v>0.14000000000000001</v>
      </c>
      <c r="J17" s="4">
        <f t="shared" si="0"/>
        <v>4.4452399999999992</v>
      </c>
      <c r="K17" s="3">
        <v>0.2</v>
      </c>
      <c r="L17" s="3">
        <f t="shared" si="1"/>
        <v>4.6452399999999994</v>
      </c>
    </row>
    <row r="18" spans="2:12" x14ac:dyDescent="0.3">
      <c r="B18" t="s">
        <v>10</v>
      </c>
      <c r="C18" t="s">
        <v>27</v>
      </c>
      <c r="D18">
        <f>$E$2*Raw_data!C18</f>
        <v>27.200000000000003</v>
      </c>
      <c r="G18" s="1">
        <v>26.8</v>
      </c>
      <c r="H18" s="1">
        <v>2.12E-2</v>
      </c>
      <c r="I18" s="1">
        <v>0.34</v>
      </c>
      <c r="J18">
        <f t="shared" si="0"/>
        <v>27.161200000000001</v>
      </c>
      <c r="K18" s="3">
        <v>1.1299999999999999</v>
      </c>
      <c r="L18" s="3">
        <f t="shared" si="1"/>
        <v>28.2912</v>
      </c>
    </row>
    <row r="21" spans="2:12" x14ac:dyDescent="0.3">
      <c r="H21" s="1"/>
    </row>
    <row r="23" spans="2:12" x14ac:dyDescent="0.3">
      <c r="C23" t="s">
        <v>36</v>
      </c>
    </row>
    <row r="24" spans="2:12" x14ac:dyDescent="0.3">
      <c r="D24" t="s">
        <v>37</v>
      </c>
      <c r="E24" s="1">
        <v>4.2399999999999998E-3</v>
      </c>
    </row>
    <row r="25" spans="2:12" x14ac:dyDescent="0.3">
      <c r="D25" t="s">
        <v>44</v>
      </c>
      <c r="E25" s="1">
        <f>20*E24</f>
        <v>8.48E-2</v>
      </c>
    </row>
    <row r="27" spans="2:12" x14ac:dyDescent="0.3">
      <c r="D27" t="s">
        <v>38</v>
      </c>
      <c r="E27">
        <v>3.09</v>
      </c>
    </row>
    <row r="28" spans="2:12" x14ac:dyDescent="0.3">
      <c r="D28" t="s">
        <v>39</v>
      </c>
      <c r="E28">
        <v>2.4336E-2</v>
      </c>
    </row>
    <row r="29" spans="2:12" x14ac:dyDescent="0.3">
      <c r="D29" t="s">
        <v>40</v>
      </c>
      <c r="E29">
        <f>E27/E28</f>
        <v>126.9723865877712</v>
      </c>
      <c r="H29">
        <v>199.75</v>
      </c>
    </row>
    <row r="30" spans="2:12" x14ac:dyDescent="0.3">
      <c r="D30" t="s">
        <v>41</v>
      </c>
      <c r="E30">
        <f>36/10000</f>
        <v>3.5999999999999999E-3</v>
      </c>
      <c r="F30" t="s">
        <v>42</v>
      </c>
    </row>
    <row r="31" spans="2:12" x14ac:dyDescent="0.3">
      <c r="D31" t="s">
        <v>43</v>
      </c>
      <c r="E31">
        <f>E29*E30</f>
        <v>0.45710059171597628</v>
      </c>
      <c r="H31">
        <f>E30*H29</f>
        <v>0.71909999999999996</v>
      </c>
    </row>
    <row r="33" spans="3:8" x14ac:dyDescent="0.3">
      <c r="D33" t="s">
        <v>45</v>
      </c>
      <c r="E33" s="1">
        <f>E25+E31</f>
        <v>0.54190059171597627</v>
      </c>
      <c r="H33" s="1">
        <f>E25+H31</f>
        <v>0.80389999999999995</v>
      </c>
    </row>
    <row r="34" spans="3:8" x14ac:dyDescent="0.3">
      <c r="D34" t="s">
        <v>46</v>
      </c>
      <c r="E34" s="7">
        <f>E33*E2</f>
        <v>43.352047337278101</v>
      </c>
      <c r="H34" s="7">
        <f>H33*80</f>
        <v>64.311999999999998</v>
      </c>
    </row>
    <row r="37" spans="3:8" x14ac:dyDescent="0.3">
      <c r="C37" s="8" t="s">
        <v>47</v>
      </c>
      <c r="D37" t="s">
        <v>48</v>
      </c>
      <c r="E37" s="1">
        <f>14*E24</f>
        <v>5.9359999999999996E-2</v>
      </c>
    </row>
    <row r="39" spans="3:8" x14ac:dyDescent="0.3">
      <c r="D39" t="s">
        <v>49</v>
      </c>
      <c r="E39">
        <f>9.66/10000</f>
        <v>9.6600000000000006E-4</v>
      </c>
      <c r="F39" t="s">
        <v>50</v>
      </c>
    </row>
    <row r="40" spans="3:8" x14ac:dyDescent="0.3">
      <c r="D40" t="s">
        <v>51</v>
      </c>
      <c r="E40">
        <f>E29*E39</f>
        <v>0.12265532544378699</v>
      </c>
      <c r="F40" t="s">
        <v>53</v>
      </c>
      <c r="H40">
        <f>E39*199.75</f>
        <v>0.19295850000000001</v>
      </c>
    </row>
    <row r="42" spans="3:8" x14ac:dyDescent="0.3">
      <c r="D42" t="s">
        <v>52</v>
      </c>
      <c r="E42" s="1">
        <f>E37+E40</f>
        <v>0.18201532544378698</v>
      </c>
      <c r="H42" s="1">
        <f>E37+H40</f>
        <v>0.2523185</v>
      </c>
    </row>
    <row r="43" spans="3:8" x14ac:dyDescent="0.3">
      <c r="D43" t="s">
        <v>46</v>
      </c>
      <c r="E43" s="7">
        <f>80*E42</f>
        <v>14.561226035502958</v>
      </c>
      <c r="H43" s="7">
        <f>80*H42</f>
        <v>20.185479999999998</v>
      </c>
    </row>
    <row r="48" spans="3:8" x14ac:dyDescent="0.3">
      <c r="F48" t="s">
        <v>59</v>
      </c>
      <c r="G48" t="s">
        <v>55</v>
      </c>
      <c r="H48" t="s">
        <v>56</v>
      </c>
    </row>
    <row r="49" spans="6:11" x14ac:dyDescent="0.3">
      <c r="F49" t="s">
        <v>57</v>
      </c>
      <c r="G49" s="7">
        <f>D7+E34</f>
        <v>153.7520473372781</v>
      </c>
      <c r="H49" s="9">
        <f>G49/80</f>
        <v>1.9219005917159762</v>
      </c>
      <c r="I49" s="10" t="s">
        <v>60</v>
      </c>
      <c r="J49" s="10"/>
      <c r="K49" s="10"/>
    </row>
    <row r="50" spans="6:11" x14ac:dyDescent="0.3">
      <c r="F50" t="s">
        <v>58</v>
      </c>
      <c r="G50" s="7">
        <f>E7+E43</f>
        <v>88.161226035502963</v>
      </c>
      <c r="H50" s="9">
        <f>G50/80</f>
        <v>1.102015325443787</v>
      </c>
      <c r="I50" s="10"/>
      <c r="J50" s="10"/>
      <c r="K50" s="10"/>
    </row>
    <row r="51" spans="6:11" x14ac:dyDescent="0.3">
      <c r="F51" t="s">
        <v>57</v>
      </c>
      <c r="G51" s="7">
        <f>D7+H34</f>
        <v>174.71199999999999</v>
      </c>
      <c r="H51" s="9">
        <f>G51/80</f>
        <v>2.1839</v>
      </c>
      <c r="I51" s="10" t="s">
        <v>61</v>
      </c>
      <c r="J51" s="10"/>
      <c r="K51" s="10"/>
    </row>
    <row r="52" spans="6:11" x14ac:dyDescent="0.3">
      <c r="F52" t="s">
        <v>58</v>
      </c>
      <c r="G52" s="7">
        <f>E7+H43</f>
        <v>93.785480000000007</v>
      </c>
      <c r="H52" s="9">
        <f>G52/80</f>
        <v>1.1723185</v>
      </c>
      <c r="I52" s="10"/>
      <c r="J52" s="10"/>
      <c r="K52" s="10"/>
    </row>
  </sheetData>
  <mergeCells count="4">
    <mergeCell ref="I49:K50"/>
    <mergeCell ref="G3:L3"/>
    <mergeCell ref="D4:E4"/>
    <mergeCell ref="I51:K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Report_data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Dorian Schrobiltgen</dc:creator>
  <cp:lastModifiedBy>Dorian Schrobiltgen</cp:lastModifiedBy>
  <dcterms:created xsi:type="dcterms:W3CDTF">2025-05-19T08:48:06Z</dcterms:created>
  <dcterms:modified xsi:type="dcterms:W3CDTF">2025-06-08T16:10:31Z</dcterms:modified>
</cp:coreProperties>
</file>